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card" sheetId="1" state="visible" r:id="rId3"/>
    <sheet name="Algorithm" sheetId="2" state="visible" r:id="rId4"/>
    <sheet name="Confi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<sst xmlns="http://schemas.openxmlformats.org/spreadsheetml/2006/main" count="181" uniqueCount="160">
  <si>
    <t xml:space="preserve">Frontend Interview Scorecard</t>
  </si>
  <si>
    <t xml:space="preserve">Fill yellow cells only. Ratings &amp; weights come from Config.</t>
  </si>
  <si>
    <t xml:space="preserve">Candidate Name</t>
  </si>
  <si>
    <t xml:space="preserve">Interview Date</t>
  </si>
  <si>
    <t xml:space="preserve">Interviewer(s)</t>
  </si>
  <si>
    <t xml:space="preserve">Role Applied For</t>
  </si>
  <si>
    <t xml:space="preserve">Years of Experience</t>
  </si>
  <si>
    <t xml:space="preserve">#</t>
  </si>
  <si>
    <t xml:space="preserve">Probe Area</t>
  </si>
  <si>
    <t xml:space="preserve">Category</t>
  </si>
  <si>
    <t xml:space="preserve">Weight</t>
  </si>
  <si>
    <t xml:space="preserve">Key Probe Pointers</t>
  </si>
  <si>
    <t xml:space="preserve">Rating (select)</t>
  </si>
  <si>
    <t xml:space="preserve">Score</t>
  </si>
  <si>
    <t xml:space="preserve">Points</t>
  </si>
  <si>
    <t xml:space="preserve">Min for Role</t>
  </si>
  <si>
    <t xml:space="preserve">Check</t>
  </si>
  <si>
    <t xml:space="preserve">Notes / Evidence</t>
  </si>
  <si>
    <t xml:space="preserve">Rendering/re-render &amp; memoization; state mgmt (local/server/global); hooks / change detection / reactivity; component design; large-app structure</t>
  </si>
  <si>
    <t xml:space="preserve">Event loop (micro/macro tasks); closures &amp; scope; this/prototypes; async/await &amp; promises; memory leaks</t>
  </si>
  <si>
    <t xml:space="preserve">interface vs type; generics &amp; keyof; discriminated unions &amp; narrowing; strict mode; typing API contracts</t>
  </si>
  <si>
    <t xml:space="preserve">Core Web Vitals (LCP/INP/CLS); bundle size &amp; code-splitting; image/font loading; profiling tools; perf budgets</t>
  </si>
  <si>
    <t xml:space="preserve">What to test (behaviour vs implementation); RTL/Jest/Vitest; mocking (MSW); async tests; test pyramid/trophy</t>
  </si>
  <si>
    <t xml:space="preserve">Semantic HTML; keyboard &amp; focus mgmt; ARIA; accessible modal/forms; axe &amp; screen-reader testing; WCAG 2.2 AA</t>
  </si>
  <si>
    <t xml:space="preserve">CSR vs SSR vs SSG vs ISR; hydration mismatches; Server vs Client Components; caching/revalidation; streaming</t>
  </si>
  <si>
    <t xml:space="preserve">Specificity &amp; box model; flex vs grid; CSS Modules / CSS-in-JS / Tailwind; theming &amp; design tokens; responsive</t>
  </si>
  <si>
    <t xml:space="preserve">Meta/title/canonical; semantic structure; SPA indexing &amp; SSR; structured data (JSON-LD); sitemaps/robots</t>
  </si>
  <si>
    <t xml:space="preserve">Event loop &amp; libuv; streams &amp; backpressure; npm/build tooling; worker threads; BFF pattern</t>
  </si>
  <si>
    <t xml:space="preserve">Express middleware / Fastify plugins / NestJS DI; validation; error handling; auth &amp; rate limiting</t>
  </si>
  <si>
    <t xml:space="preserve">Schema &amp; resolvers; N+1 &amp; DataLoader; client caching (Apollo); REST vs GraphQL trade-offs</t>
  </si>
  <si>
    <t xml:space="preserve">Figma auto layout &amp; Dev Mode; variables → tokens; design hand-off; pushing back on designs</t>
  </si>
  <si>
    <t xml:space="preserve">React Native / Flutter / PWA trade-offs; native APIs; offline-first; sharing logic with web</t>
  </si>
  <si>
    <t xml:space="preserve">SCORE</t>
  </si>
  <si>
    <t xml:space="preserve">Core Score (max 100)</t>
  </si>
  <si>
    <t xml:space="preserve">Bonus (max 10)</t>
  </si>
  <si>
    <t xml:space="preserve">Final Score</t>
  </si>
  <si>
    <t xml:space="preserve">Core areas rated (of 10)</t>
  </si>
  <si>
    <t xml:space="preserve">Role</t>
  </si>
  <si>
    <t xml:space="preserve">Score Needed</t>
  </si>
  <si>
    <t xml:space="preserve">Score Met?</t>
  </si>
  <si>
    <t xml:space="preserve">Must-haves Missed</t>
  </si>
  <si>
    <t xml:space="preserve">Eligible?</t>
  </si>
  <si>
    <t xml:space="preserve">Applied level</t>
  </si>
  <si>
    <t xml:space="preserve">Eligible level</t>
  </si>
  <si>
    <t xml:space="preserve">Eligible role</t>
  </si>
  <si>
    <t xml:space="preserve">Gap (Applied − Eligible)</t>
  </si>
  <si>
    <t xml:space="preserve">Experience check (info only)</t>
  </si>
  <si>
    <t xml:space="preserve">RECOMMENDATION</t>
  </si>
  <si>
    <t xml:space="preserve">Panel comments / override reason</t>
  </si>
  <si>
    <t xml:space="preserve">Recommendation Algorithm</t>
  </si>
  <si>
    <t xml:space="preserve">1. Rate each area</t>
  </si>
  <si>
    <t xml:space="preserve">No Exposure = 0  ·  Conceptual = 1  ·  Guided = 2  ·  Independent = 3  ·  Expert = 4</t>
  </si>
  <si>
    <t xml:space="preserve">2. Points per area</t>
  </si>
  <si>
    <t xml:space="preserve">Points = Weight × Rating ÷ 4</t>
  </si>
  <si>
    <t xml:space="preserve">3. Scores</t>
  </si>
  <si>
    <t xml:space="preserve">Core Score = sum of 10 core areas' points  (max 100)</t>
  </si>
  <si>
    <t xml:space="preserve">Bonus = sum of 4 good-to-know areas' points  (max 10)</t>
  </si>
  <si>
    <t xml:space="preserve">Final Score = Core + Bonus  (capped at 100)</t>
  </si>
  <si>
    <t xml:space="preserve">4. Role bars  (edit on Config)</t>
  </si>
  <si>
    <t xml:space="preserve">Final Score needed</t>
  </si>
  <si>
    <t xml:space="preserve">Must-have minimums (Config cols D–G)</t>
  </si>
  <si>
    <t xml:space="preserve">Analyst</t>
  </si>
  <si>
    <t xml:space="preserve">Framework, JS, Styling ≥ 1</t>
  </si>
  <si>
    <t xml:space="preserve">Senior Analyst</t>
  </si>
  <si>
    <t xml:space="preserve">Framework, JS, Styling ≥ 2 · most others ≥ 1</t>
  </si>
  <si>
    <t xml:space="preserve">Specialist/Lead</t>
  </si>
  <si>
    <t xml:space="preserve">Framework, JS ≥ 3 · TS, Perf, Testing, A11y, SSR, Styling ≥ 2</t>
  </si>
  <si>
    <t xml:space="preserve">Architect</t>
  </si>
  <si>
    <t xml:space="preserve">Framework, JS, TS, Perf, SSR ≥ 3 · rest ≥ 2</t>
  </si>
  <si>
    <t xml:space="preserve">5. Eligible?</t>
  </si>
  <si>
    <t xml:space="preserve">Eligible = Final Score ≥ bar  AND  all must-haves met</t>
  </si>
  <si>
    <t xml:space="preserve">6. Eligible Level</t>
  </si>
  <si>
    <t xml:space="preserve">Highest role the candidate is eligible for  (Analyst 1 · Sr Analyst 2 · Lead 3 · Architect 4)</t>
  </si>
  <si>
    <t xml:space="preserve">7. Gap</t>
  </si>
  <si>
    <t xml:space="preserve">Gap = Applied Level − Eligible Level</t>
  </si>
  <si>
    <t xml:space="preserve">8. Recommendation</t>
  </si>
  <si>
    <t xml:space="preserve">Gap</t>
  </si>
  <si>
    <t xml:space="preserve">Result</t>
  </si>
  <si>
    <t xml:space="preserve">0 or less</t>
  </si>
  <si>
    <t xml:space="preserve">✅ Recommend for applied role</t>
  </si>
  <si>
    <t xml:space="preserve">1  (Config!B40)</t>
  </si>
  <si>
    <t xml:space="preserve">🟡 Recommend one level lower</t>
  </si>
  <si>
    <t xml:space="preserve">2 or more / not eligible for any role</t>
  </si>
  <si>
    <t xml:space="preserve">❌ Not recommended</t>
  </si>
  <si>
    <t xml:space="preserve">Not all core areas rated</t>
  </si>
  <si>
    <t xml:space="preserve">⏸ Incomplete</t>
  </si>
  <si>
    <t xml:space="preserve">Example</t>
  </si>
  <si>
    <t xml:space="preserve">Applied for Lead (3), eligible only for Analyst (1)  →  Gap = 2  →  ❌ Not recommended</t>
  </si>
  <si>
    <t xml:space="preserve">Configuration – scale, weights, must-have minimums, role thresholds</t>
  </si>
  <si>
    <t xml:space="preserve">Proficiency Scale</t>
  </si>
  <si>
    <t xml:space="preserve">Rating</t>
  </si>
  <si>
    <t xml:space="preserve">Score (0-4)</t>
  </si>
  <si>
    <t xml:space="preserve">Credit factor</t>
  </si>
  <si>
    <t xml:space="preserve">Definition</t>
  </si>
  <si>
    <t xml:space="preserve">Typical evidence in interview</t>
  </si>
  <si>
    <t xml:space="preserve">No Exposure</t>
  </si>
  <si>
    <t xml:space="preserve">Has not used it and cannot describe it meaningfully.</t>
  </si>
  <si>
    <t xml:space="preserve">Guesses, or says 'never worked on it'.</t>
  </si>
  <si>
    <t xml:space="preserve">Conceptual Awareness</t>
  </si>
  <si>
    <t xml:space="preserve">Can explain what it is and why it matters; little or no applied use.</t>
  </si>
  <si>
    <t xml:space="preserve">Textbook answers; struggles with 'how would you implement…'.</t>
  </si>
  <si>
    <t xml:space="preserve">Guided Practitioner</t>
  </si>
  <si>
    <t xml:space="preserve">Has applied it in real work with support, references or existing patterns.</t>
  </si>
  <si>
    <t xml:space="preserve">Can describe what they did but not trade-offs or failure modes.</t>
  </si>
  <si>
    <t xml:space="preserve">Independent Practitioner</t>
  </si>
  <si>
    <t xml:space="preserve">Delivers production work unaided; debugs, makes and defends trade-offs.</t>
  </si>
  <si>
    <t xml:space="preserve">Concrete war stories, edge cases, measured outcomes.</t>
  </si>
  <si>
    <t xml:space="preserve">Expert / Multiplier</t>
  </si>
  <si>
    <t xml:space="preserve">Designs approaches, sets standards, reviews and mentors others on it.</t>
  </si>
  <si>
    <t xml:space="preserve">Talks in principles + governance; has changed how a team works.</t>
  </si>
  <si>
    <t xml:space="preserve">Probe Areas, Weights &amp; Must-have Minimums</t>
  </si>
  <si>
    <t xml:space="preserve">Core weights must total 100. Good-to-know weights form a bonus pool (total 10). Min columns = lowest Score (0-4) a candidate needs in that area to be eligible for the role; blank = no requirement.</t>
  </si>
  <si>
    <t xml:space="preserve">Analyst min Rating</t>
  </si>
  <si>
    <t xml:space="preserve">Senior Analyst min Rating</t>
  </si>
  <si>
    <t xml:space="preserve">Specialist/Lead min Rating</t>
  </si>
  <si>
    <t xml:space="preserve">Architect min Rating</t>
  </si>
  <si>
    <t xml:space="preserve">Why this weight</t>
  </si>
  <si>
    <t xml:space="preserve">Framework (React / Angular / Vue)</t>
  </si>
  <si>
    <t xml:space="preserve">Core</t>
  </si>
  <si>
    <t xml:space="preserve">Day-one productivity; most code written here.</t>
  </si>
  <si>
    <t xml:space="preserve">Core JavaScript</t>
  </si>
  <si>
    <t xml:space="preserve">Foundation for debugging anything the framework hides.</t>
  </si>
  <si>
    <t xml:space="preserve">TypeScript</t>
  </si>
  <si>
    <t xml:space="preserve">Type design drives API contracts &amp; refactor safety.</t>
  </si>
  <si>
    <t xml:space="preserve">Performance</t>
  </si>
  <si>
    <t xml:space="preserve">Differentiates senior/lead; direct business impact.</t>
  </si>
  <si>
    <t xml:space="preserve">Unit Testing</t>
  </si>
  <si>
    <t xml:space="preserve">Quality culture; leads must set the bar.</t>
  </si>
  <si>
    <t xml:space="preserve">Accessibility</t>
  </si>
  <si>
    <t xml:space="preserve">Legal/compliance risk; often weak in candidates.</t>
  </si>
  <si>
    <t xml:space="preserve">SSR (Next.js or other)</t>
  </si>
  <si>
    <t xml:space="preserve">Rendering strategy is an architectural decision.</t>
  </si>
  <si>
    <t xml:space="preserve">Styling (CSS / design systems)</t>
  </si>
  <si>
    <t xml:space="preserve">Everyone needs it; ceiling matters less than floor.</t>
  </si>
  <si>
    <t xml:space="preserve">SEO</t>
  </si>
  <si>
    <t xml:space="preserve">Important for public sites; narrower scope.</t>
  </si>
  <si>
    <t xml:space="preserve">Node.js (runtime &amp; tooling)</t>
  </si>
  <si>
    <t xml:space="preserve">Build tooling, BFFs, scripts.</t>
  </si>
  <si>
    <t xml:space="preserve">Node Backend (Express / Fastify / NestJS)</t>
  </si>
  <si>
    <t xml:space="preserve">Good to know</t>
  </si>
  <si>
    <t xml:space="preserve">Bonus: full-stack reach.</t>
  </si>
  <si>
    <t xml:space="preserve">GraphQL</t>
  </si>
  <si>
    <t xml:space="preserve">Bonus: API layer breadth.</t>
  </si>
  <si>
    <t xml:space="preserve">UI/UX &amp; Figma</t>
  </si>
  <si>
    <t xml:space="preserve">Bonus: design collaboration.</t>
  </si>
  <si>
    <t xml:space="preserve">Mobile App Development</t>
  </si>
  <si>
    <t xml:space="preserve">Bonus: cross-platform reach.</t>
  </si>
  <si>
    <t xml:space="preserve">Core weight total (must = 100)</t>
  </si>
  <si>
    <t xml:space="preserve">Bonus pool total</t>
  </si>
  <si>
    <t xml:space="preserve">Role Thresholds</t>
  </si>
  <si>
    <t xml:space="preserve">Level index</t>
  </si>
  <si>
    <t xml:space="preserve">Min Final Score</t>
  </si>
  <si>
    <t xml:space="preserve">Typical experience (min yrs)</t>
  </si>
  <si>
    <t xml:space="preserve">What the bar means</t>
  </si>
  <si>
    <t xml:space="preserve">Conceptual everywhere, guided in framework/JS/CSS.</t>
  </si>
  <si>
    <t xml:space="preserve">Guided practitioner across the board.</t>
  </si>
  <si>
    <t xml:space="preserve">Independent in most core areas; can own a feature area.</t>
  </si>
  <si>
    <t xml:space="preserve">Independent everywhere, expert in several; </t>
  </si>
  <si>
    <t xml:space="preserve">Max levels below applied role (down-level allowed)</t>
  </si>
  <si>
    <t xml:space="preserve">1 = Lead can be offered Senior Analyst; 2+ levels below → Not Recommended. Set 0 for no down-levelling.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</si>
</sst>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yy"/>
    <numFmt numFmtId="166" formatCode="0.00"/>
    <numFmt numFmtId="167" formatCode="0.0"/>
    <numFmt numFmtId="168" formatCode="0"/>
    <numFmt numFmtId="169" formatCode="General"/>
    <numFmt numFmtId="170" formatCode="0%"/>
  </numFmts>
  <fonts count="1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539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B539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theme="1"/>
      <name val="Calibri"/>
      <family val="0"/>
      <charset val="1"/>
    </font>
    <font>
      <sz val="11"/>
      <color rgb="FF666666"/>
      <name val="Arial"/>
      <family val="0"/>
      <charset val="1"/>
    </font>
    <font>
      <sz val="10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2CC"/>
      </patternFill>
    </fill>
    <fill>
      <patternFill patternType="solid">
        <fgColor rgb="FFF8CBAD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0" fontId="1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3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9C5700"/>
        <sz val="13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006100"/>
        <sz val="13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B539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61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55"/>
    <col collapsed="false" customWidth="true" hidden="false" outlineLevel="0" max="6" min="6" style="0" width="24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40"/>
    <col collapsed="false" customWidth="true" hidden="true" outlineLevel="0" max="12" min="12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B3" s="3" t="s">
        <v>2</v>
      </c>
      <c r="C3" s="4"/>
      <c r="D3" s="4"/>
      <c r="E3" s="4"/>
    </row>
    <row r="4" customFormat="false" ht="15" hidden="false" customHeight="false" outlineLevel="0" collapsed="false">
      <c r="B4" s="3" t="s">
        <v>3</v>
      </c>
      <c r="C4" s="5"/>
      <c r="D4" s="5"/>
      <c r="E4" s="5"/>
    </row>
    <row r="5" customFormat="false" ht="15" hidden="false" customHeight="false" outlineLevel="0" collapsed="false">
      <c r="B5" s="3" t="s">
        <v>4</v>
      </c>
      <c r="C5" s="4"/>
      <c r="D5" s="4"/>
      <c r="E5" s="4"/>
    </row>
    <row r="6" customFormat="false" ht="15" hidden="false" customHeight="false" outlineLevel="0" collapsed="false">
      <c r="B6" s="3" t="s">
        <v>5</v>
      </c>
      <c r="C6" s="4"/>
      <c r="D6" s="4"/>
      <c r="E6" s="4"/>
    </row>
    <row r="7" customFormat="false" ht="15" hidden="false" customHeight="false" outlineLevel="0" collapsed="false">
      <c r="B7" s="3" t="s">
        <v>6</v>
      </c>
      <c r="C7" s="4"/>
      <c r="D7" s="4"/>
      <c r="E7" s="4"/>
    </row>
    <row r="9" customFormat="false" ht="23.85" hidden="false" customHeight="false" outlineLevel="0" collapsed="false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</row>
    <row r="10" customFormat="false" ht="42" hidden="false" customHeight="true" outlineLevel="0" collapsed="false">
      <c r="A10" s="7" t="n">
        <v>1</v>
      </c>
      <c r="B10" s="8" t="str">
        <f aca="false">Config!A15</f>
        <v>Framework (React / Angular / Vue)</v>
      </c>
      <c r="C10" s="9" t="str">
        <f aca="false">Config!B15</f>
        <v>Core</v>
      </c>
      <c r="D10" s="9" t="n">
        <f aca="false">Config!C15</f>
        <v>18</v>
      </c>
      <c r="E10" s="10" t="s">
        <v>18</v>
      </c>
      <c r="F10" s="11"/>
      <c r="G10" s="7" t="str">
        <f aca="false">IF(F10="","",INDEX(Config!$B$5:$B$9,MATCH(F10,Config!$A$5:$A$9,0)))</f>
        <v/>
      </c>
      <c r="H10" s="12" t="n">
        <f aca="false">IF(G10="",0,D10*G10/4)</f>
        <v>0</v>
      </c>
      <c r="I10" s="7" t="str">
        <f aca="false">IF($C$37=0,"",IF(INDEX(Config!$D15:$G15,1,$C$37)="","-",INDEX(Config!$D15:$G15,1,$C$37)))</f>
        <v/>
      </c>
      <c r="J10" s="7" t="str">
        <f aca="false">IF(OR(I10="",I10="-"),"",IF(G10="","Not rated",IF(G10&gt;=I10,"OK","BELOW MIN")))</f>
        <v/>
      </c>
      <c r="K10" s="13"/>
      <c r="L10" s="0" t="n">
        <f aca="false">IF(G10="",0,G10)</f>
        <v>0</v>
      </c>
    </row>
    <row r="11" customFormat="false" ht="42" hidden="false" customHeight="true" outlineLevel="0" collapsed="false">
      <c r="A11" s="7" t="n">
        <v>2</v>
      </c>
      <c r="B11" s="8" t="str">
        <f aca="false">Config!A16</f>
        <v>Core JavaScript</v>
      </c>
      <c r="C11" s="9" t="str">
        <f aca="false">Config!B16</f>
        <v>Core</v>
      </c>
      <c r="D11" s="9" t="n">
        <f aca="false">Config!C16</f>
        <v>18</v>
      </c>
      <c r="E11" s="10" t="s">
        <v>19</v>
      </c>
      <c r="F11" s="11"/>
      <c r="G11" s="7" t="str">
        <f aca="false">IF(F11="","",INDEX(Config!$B$5:$B$9,MATCH(F11,Config!$A$5:$A$9,0)))</f>
        <v/>
      </c>
      <c r="H11" s="12" t="n">
        <f aca="false">IF(G11="",0,D11*G11/4)</f>
        <v>0</v>
      </c>
      <c r="I11" s="7" t="str">
        <f aca="false">IF($C$37=0,"",IF(INDEX(Config!$D16:$G16,1,$C$37)="","-",INDEX(Config!$D16:$G16,1,$C$37)))</f>
        <v/>
      </c>
      <c r="J11" s="7" t="str">
        <f aca="false">IF(OR(I11="",I11="-"),"",IF(G11="","Not rated",IF(G11&gt;=I11,"OK","BELOW MIN")))</f>
        <v/>
      </c>
      <c r="K11" s="13"/>
      <c r="L11" s="0" t="n">
        <f aca="false">IF(G11="",0,G11)</f>
        <v>0</v>
      </c>
    </row>
    <row r="12" customFormat="false" ht="42" hidden="false" customHeight="true" outlineLevel="0" collapsed="false">
      <c r="A12" s="7" t="n">
        <v>3</v>
      </c>
      <c r="B12" s="8" t="str">
        <f aca="false">Config!A17</f>
        <v>TypeScript</v>
      </c>
      <c r="C12" s="9" t="str">
        <f aca="false">Config!B17</f>
        <v>Core</v>
      </c>
      <c r="D12" s="9" t="n">
        <f aca="false">Config!C17</f>
        <v>10</v>
      </c>
      <c r="E12" s="10" t="s">
        <v>20</v>
      </c>
      <c r="F12" s="11"/>
      <c r="G12" s="7" t="str">
        <f aca="false">IF(F12="","",INDEX(Config!$B$5:$B$9,MATCH(F12,Config!$A$5:$A$9,0)))</f>
        <v/>
      </c>
      <c r="H12" s="12" t="n">
        <f aca="false">IF(G12="",0,D12*G12/4)</f>
        <v>0</v>
      </c>
      <c r="I12" s="7" t="str">
        <f aca="false">IF($C$37=0,"",IF(INDEX(Config!$D17:$G17,1,$C$37)="","-",INDEX(Config!$D17:$G17,1,$C$37)))</f>
        <v/>
      </c>
      <c r="J12" s="7" t="str">
        <f aca="false">IF(OR(I12="",I12="-"),"",IF(G12="","Not rated",IF(G12&gt;=I12,"OK","BELOW MIN")))</f>
        <v/>
      </c>
      <c r="K12" s="13"/>
      <c r="L12" s="0" t="n">
        <f aca="false">IF(G12="",0,G12)</f>
        <v>0</v>
      </c>
    </row>
    <row r="13" customFormat="false" ht="42" hidden="false" customHeight="true" outlineLevel="0" collapsed="false">
      <c r="A13" s="7" t="n">
        <v>4</v>
      </c>
      <c r="B13" s="8" t="str">
        <f aca="false">Config!A18</f>
        <v>Performance</v>
      </c>
      <c r="C13" s="9" t="str">
        <f aca="false">Config!B18</f>
        <v>Core</v>
      </c>
      <c r="D13" s="9" t="n">
        <f aca="false">Config!C18</f>
        <v>10</v>
      </c>
      <c r="E13" s="10" t="s">
        <v>21</v>
      </c>
      <c r="F13" s="11"/>
      <c r="G13" s="7" t="str">
        <f aca="false">IF(F13="","",INDEX(Config!$B$5:$B$9,MATCH(F13,Config!$A$5:$A$9,0)))</f>
        <v/>
      </c>
      <c r="H13" s="12" t="n">
        <f aca="false">IF(G13="",0,D13*G13/4)</f>
        <v>0</v>
      </c>
      <c r="I13" s="7" t="str">
        <f aca="false">IF($C$37=0,"",IF(INDEX(Config!$D18:$G18,1,$C$37)="","-",INDEX(Config!$D18:$G18,1,$C$37)))</f>
        <v/>
      </c>
      <c r="J13" s="7" t="str">
        <f aca="false">IF(OR(I13="",I13="-"),"",IF(G13="","Not rated",IF(G13&gt;=I13,"OK","BELOW MIN")))</f>
        <v/>
      </c>
      <c r="K13" s="13"/>
      <c r="L13" s="0" t="n">
        <f aca="false">IF(G13="",0,G13)</f>
        <v>0</v>
      </c>
    </row>
    <row r="14" customFormat="false" ht="42" hidden="false" customHeight="true" outlineLevel="0" collapsed="false">
      <c r="A14" s="7" t="n">
        <v>5</v>
      </c>
      <c r="B14" s="8" t="str">
        <f aca="false">Config!A19</f>
        <v>Unit Testing</v>
      </c>
      <c r="C14" s="9" t="str">
        <f aca="false">Config!B19</f>
        <v>Core</v>
      </c>
      <c r="D14" s="9" t="n">
        <f aca="false">Config!C19</f>
        <v>9</v>
      </c>
      <c r="E14" s="10" t="s">
        <v>22</v>
      </c>
      <c r="F14" s="11"/>
      <c r="G14" s="7" t="str">
        <f aca="false">IF(F14="","",INDEX(Config!$B$5:$B$9,MATCH(F14,Config!$A$5:$A$9,0)))</f>
        <v/>
      </c>
      <c r="H14" s="12" t="n">
        <f aca="false">IF(G14="",0,D14*G14/4)</f>
        <v>0</v>
      </c>
      <c r="I14" s="7" t="str">
        <f aca="false">IF($C$37=0,"",IF(INDEX(Config!$D19:$G19,1,$C$37)="","-",INDEX(Config!$D19:$G19,1,$C$37)))</f>
        <v/>
      </c>
      <c r="J14" s="7" t="str">
        <f aca="false">IF(OR(I14="",I14="-"),"",IF(G14="","Not rated",IF(G14&gt;=I14,"OK","BELOW MIN")))</f>
        <v/>
      </c>
      <c r="K14" s="13"/>
      <c r="L14" s="0" t="n">
        <f aca="false">IF(G14="",0,G14)</f>
        <v>0</v>
      </c>
    </row>
    <row r="15" customFormat="false" ht="42" hidden="false" customHeight="true" outlineLevel="0" collapsed="false">
      <c r="A15" s="7" t="n">
        <v>6</v>
      </c>
      <c r="B15" s="8" t="str">
        <f aca="false">Config!A20</f>
        <v>Accessibility</v>
      </c>
      <c r="C15" s="9" t="str">
        <f aca="false">Config!B20</f>
        <v>Core</v>
      </c>
      <c r="D15" s="9" t="n">
        <f aca="false">Config!C20</f>
        <v>8</v>
      </c>
      <c r="E15" s="10" t="s">
        <v>23</v>
      </c>
      <c r="F15" s="11"/>
      <c r="G15" s="7" t="str">
        <f aca="false">IF(F15="","",INDEX(Config!$B$5:$B$9,MATCH(F15,Config!$A$5:$A$9,0)))</f>
        <v/>
      </c>
      <c r="H15" s="12" t="n">
        <f aca="false">IF(G15="",0,D15*G15/4)</f>
        <v>0</v>
      </c>
      <c r="I15" s="7" t="str">
        <f aca="false">IF($C$37=0,"",IF(INDEX(Config!$D20:$G20,1,$C$37)="","-",INDEX(Config!$D20:$G20,1,$C$37)))</f>
        <v/>
      </c>
      <c r="J15" s="7" t="str">
        <f aca="false">IF(OR(I15="",I15="-"),"",IF(G15="","Not rated",IF(G15&gt;=I15,"OK","BELOW MIN")))</f>
        <v/>
      </c>
      <c r="K15" s="13"/>
      <c r="L15" s="0" t="n">
        <f aca="false">IF(G15="",0,G15)</f>
        <v>0</v>
      </c>
    </row>
    <row r="16" customFormat="false" ht="42" hidden="false" customHeight="true" outlineLevel="0" collapsed="false">
      <c r="A16" s="7" t="n">
        <v>7</v>
      </c>
      <c r="B16" s="8" t="str">
        <f aca="false">Config!A21</f>
        <v>SSR (Next.js or other)</v>
      </c>
      <c r="C16" s="9" t="str">
        <f aca="false">Config!B21</f>
        <v>Core</v>
      </c>
      <c r="D16" s="9" t="n">
        <f aca="false">Config!C21</f>
        <v>8</v>
      </c>
      <c r="E16" s="10" t="s">
        <v>24</v>
      </c>
      <c r="F16" s="11"/>
      <c r="G16" s="7" t="str">
        <f aca="false">IF(F16="","",INDEX(Config!$B$5:$B$9,MATCH(F16,Config!$A$5:$A$9,0)))</f>
        <v/>
      </c>
      <c r="H16" s="12" t="n">
        <f aca="false">IF(G16="",0,D16*G16/4)</f>
        <v>0</v>
      </c>
      <c r="I16" s="7" t="str">
        <f aca="false">IF($C$37=0,"",IF(INDEX(Config!$D21:$G21,1,$C$37)="","-",INDEX(Config!$D21:$G21,1,$C$37)))</f>
        <v/>
      </c>
      <c r="J16" s="7" t="str">
        <f aca="false">IF(OR(I16="",I16="-"),"",IF(G16="","Not rated",IF(G16&gt;=I16,"OK","BELOW MIN")))</f>
        <v/>
      </c>
      <c r="K16" s="13"/>
      <c r="L16" s="0" t="n">
        <f aca="false">IF(G16="",0,G16)</f>
        <v>0</v>
      </c>
    </row>
    <row r="17" customFormat="false" ht="42" hidden="false" customHeight="true" outlineLevel="0" collapsed="false">
      <c r="A17" s="7" t="n">
        <v>8</v>
      </c>
      <c r="B17" s="8" t="str">
        <f aca="false">Config!A22</f>
        <v>Styling (CSS / design systems)</v>
      </c>
      <c r="C17" s="9" t="str">
        <f aca="false">Config!B22</f>
        <v>Core</v>
      </c>
      <c r="D17" s="9" t="n">
        <f aca="false">Config!C22</f>
        <v>7</v>
      </c>
      <c r="E17" s="10" t="s">
        <v>25</v>
      </c>
      <c r="F17" s="11"/>
      <c r="G17" s="7" t="str">
        <f aca="false">IF(F17="","",INDEX(Config!$B$5:$B$9,MATCH(F17,Config!$A$5:$A$9,0)))</f>
        <v/>
      </c>
      <c r="H17" s="12" t="n">
        <f aca="false">IF(G17="",0,D17*G17/4)</f>
        <v>0</v>
      </c>
      <c r="I17" s="7" t="str">
        <f aca="false">IF($C$37=0,"",IF(INDEX(Config!$D22:$G22,1,$C$37)="","-",INDEX(Config!$D22:$G22,1,$C$37)))</f>
        <v/>
      </c>
      <c r="J17" s="7" t="str">
        <f aca="false">IF(OR(I17="",I17="-"),"",IF(G17="","Not rated",IF(G17&gt;=I17,"OK","BELOW MIN")))</f>
        <v/>
      </c>
      <c r="K17" s="13"/>
      <c r="L17" s="0" t="n">
        <f aca="false">IF(G17="",0,G17)</f>
        <v>0</v>
      </c>
    </row>
    <row r="18" customFormat="false" ht="42" hidden="false" customHeight="true" outlineLevel="0" collapsed="false">
      <c r="A18" s="7" t="n">
        <v>9</v>
      </c>
      <c r="B18" s="8" t="str">
        <f aca="false">Config!A23</f>
        <v>SEO</v>
      </c>
      <c r="C18" s="9" t="str">
        <f aca="false">Config!B23</f>
        <v>Core</v>
      </c>
      <c r="D18" s="9" t="n">
        <f aca="false">Config!C23</f>
        <v>5</v>
      </c>
      <c r="E18" s="10" t="s">
        <v>26</v>
      </c>
      <c r="F18" s="11"/>
      <c r="G18" s="7" t="str">
        <f aca="false">IF(F18="","",INDEX(Config!$B$5:$B$9,MATCH(F18,Config!$A$5:$A$9,0)))</f>
        <v/>
      </c>
      <c r="H18" s="12" t="n">
        <f aca="false">IF(G18="",0,D18*G18/4)</f>
        <v>0</v>
      </c>
      <c r="I18" s="7" t="str">
        <f aca="false">IF($C$37=0,"",IF(INDEX(Config!$D23:$G23,1,$C$37)="","-",INDEX(Config!$D23:$G23,1,$C$37)))</f>
        <v/>
      </c>
      <c r="J18" s="7" t="str">
        <f aca="false">IF(OR(I18="",I18="-"),"",IF(G18="","Not rated",IF(G18&gt;=I18,"OK","BELOW MIN")))</f>
        <v/>
      </c>
      <c r="K18" s="13"/>
      <c r="L18" s="0" t="n">
        <f aca="false">IF(G18="",0,G18)</f>
        <v>0</v>
      </c>
    </row>
    <row r="19" customFormat="false" ht="42" hidden="false" customHeight="true" outlineLevel="0" collapsed="false">
      <c r="A19" s="7" t="n">
        <v>10</v>
      </c>
      <c r="B19" s="8" t="str">
        <f aca="false">Config!A24</f>
        <v>Node.js (runtime &amp; tooling)</v>
      </c>
      <c r="C19" s="9" t="str">
        <f aca="false">Config!B24</f>
        <v>Core</v>
      </c>
      <c r="D19" s="9" t="n">
        <f aca="false">Config!C24</f>
        <v>7</v>
      </c>
      <c r="E19" s="10" t="s">
        <v>27</v>
      </c>
      <c r="F19" s="11"/>
      <c r="G19" s="7" t="str">
        <f aca="false">IF(F19="","",INDEX(Config!$B$5:$B$9,MATCH(F19,Config!$A$5:$A$9,0)))</f>
        <v/>
      </c>
      <c r="H19" s="12" t="n">
        <f aca="false">IF(G19="",0,D19*G19/4)</f>
        <v>0</v>
      </c>
      <c r="I19" s="7" t="str">
        <f aca="false">IF($C$37=0,"",IF(INDEX(Config!$D24:$G24,1,$C$37)="","-",INDEX(Config!$D24:$G24,1,$C$37)))</f>
        <v/>
      </c>
      <c r="J19" s="7" t="str">
        <f aca="false">IF(OR(I19="",I19="-"),"",IF(G19="","Not rated",IF(G19&gt;=I19,"OK","BELOW MIN")))</f>
        <v/>
      </c>
      <c r="K19" s="13"/>
      <c r="L19" s="0" t="n">
        <f aca="false">IF(G19="",0,G19)</f>
        <v>0</v>
      </c>
    </row>
    <row r="20" customFormat="false" ht="42" hidden="false" customHeight="true" outlineLevel="0" collapsed="false">
      <c r="A20" s="14" t="n">
        <v>11</v>
      </c>
      <c r="B20" s="15" t="str">
        <f aca="false">Config!A25</f>
        <v>Node Backend (Express / Fastify / NestJS)</v>
      </c>
      <c r="C20" s="16" t="str">
        <f aca="false">Config!B25</f>
        <v>Good to know</v>
      </c>
      <c r="D20" s="16" t="n">
        <f aca="false">Config!C25</f>
        <v>3</v>
      </c>
      <c r="E20" s="17" t="s">
        <v>28</v>
      </c>
      <c r="F20" s="11"/>
      <c r="G20" s="14" t="str">
        <f aca="false">IF(F20="","",INDEX(Config!$B$5:$B$9,MATCH(F20,Config!$A$5:$A$9,0)))</f>
        <v/>
      </c>
      <c r="H20" s="18" t="n">
        <f aca="false">IF(G20="",0,D20*G20/4)</f>
        <v>0</v>
      </c>
      <c r="I20" s="14" t="str">
        <f aca="false">IF($C$37=0,"",IF(INDEX(Config!$D25:$G25,1,$C$37)="","-",INDEX(Config!$D25:$G25,1,$C$37)))</f>
        <v/>
      </c>
      <c r="J20" s="14" t="str">
        <f aca="false">IF(OR(I20="",I20="-"),"",IF(G20="","Not rated",IF(G20&gt;=I20,"OK","BELOW MIN")))</f>
        <v/>
      </c>
      <c r="K20" s="13"/>
      <c r="L20" s="0" t="n">
        <f aca="false">IF(G20="",0,G20)</f>
        <v>0</v>
      </c>
    </row>
    <row r="21" customFormat="false" ht="42" hidden="false" customHeight="true" outlineLevel="0" collapsed="false">
      <c r="A21" s="14" t="n">
        <v>12</v>
      </c>
      <c r="B21" s="15" t="str">
        <f aca="false">Config!A26</f>
        <v>GraphQL</v>
      </c>
      <c r="C21" s="16" t="str">
        <f aca="false">Config!B26</f>
        <v>Good to know</v>
      </c>
      <c r="D21" s="16" t="n">
        <f aca="false">Config!C26</f>
        <v>2.5</v>
      </c>
      <c r="E21" s="17" t="s">
        <v>29</v>
      </c>
      <c r="F21" s="11"/>
      <c r="G21" s="14" t="str">
        <f aca="false">IF(F21="","",INDEX(Config!$B$5:$B$9,MATCH(F21,Config!$A$5:$A$9,0)))</f>
        <v/>
      </c>
      <c r="H21" s="18" t="n">
        <f aca="false">IF(G21="",0,D21*G21/4)</f>
        <v>0</v>
      </c>
      <c r="I21" s="14" t="str">
        <f aca="false">IF($C$37=0,"",IF(INDEX(Config!$D26:$G26,1,$C$37)="","-",INDEX(Config!$D26:$G26,1,$C$37)))</f>
        <v/>
      </c>
      <c r="J21" s="14" t="str">
        <f aca="false">IF(OR(I21="",I21="-"),"",IF(G21="","Not rated",IF(G21&gt;=I21,"OK","BELOW MIN")))</f>
        <v/>
      </c>
      <c r="K21" s="13"/>
      <c r="L21" s="0" t="n">
        <f aca="false">IF(G21="",0,G21)</f>
        <v>0</v>
      </c>
    </row>
    <row r="22" customFormat="false" ht="42" hidden="false" customHeight="true" outlineLevel="0" collapsed="false">
      <c r="A22" s="14" t="n">
        <v>13</v>
      </c>
      <c r="B22" s="15" t="str">
        <f aca="false">Config!A27</f>
        <v>UI/UX &amp; Figma</v>
      </c>
      <c r="C22" s="16" t="str">
        <f aca="false">Config!B27</f>
        <v>Good to know</v>
      </c>
      <c r="D22" s="16" t="n">
        <f aca="false">Config!C27</f>
        <v>2</v>
      </c>
      <c r="E22" s="17" t="s">
        <v>30</v>
      </c>
      <c r="F22" s="11"/>
      <c r="G22" s="14" t="str">
        <f aca="false">IF(F22="","",INDEX(Config!$B$5:$B$9,MATCH(F22,Config!$A$5:$A$9,0)))</f>
        <v/>
      </c>
      <c r="H22" s="18" t="n">
        <f aca="false">IF(G22="",0,D22*G22/4)</f>
        <v>0</v>
      </c>
      <c r="I22" s="14" t="str">
        <f aca="false">IF($C$37=0,"",IF(INDEX(Config!$D27:$G27,1,$C$37)="","-",INDEX(Config!$D27:$G27,1,$C$37)))</f>
        <v/>
      </c>
      <c r="J22" s="14" t="str">
        <f aca="false">IF(OR(I22="",I22="-"),"",IF(G22="","Not rated",IF(G22&gt;=I22,"OK","BELOW MIN")))</f>
        <v/>
      </c>
      <c r="K22" s="13"/>
      <c r="L22" s="0" t="n">
        <f aca="false">IF(G22="",0,G22)</f>
        <v>0</v>
      </c>
    </row>
    <row r="23" customFormat="false" ht="42" hidden="false" customHeight="true" outlineLevel="0" collapsed="false">
      <c r="A23" s="14" t="n">
        <v>14</v>
      </c>
      <c r="B23" s="15" t="str">
        <f aca="false">Config!A28</f>
        <v>Mobile App Development</v>
      </c>
      <c r="C23" s="16" t="str">
        <f aca="false">Config!B28</f>
        <v>Good to know</v>
      </c>
      <c r="D23" s="16" t="n">
        <f aca="false">Config!C28</f>
        <v>2.5</v>
      </c>
      <c r="E23" s="17" t="s">
        <v>31</v>
      </c>
      <c r="F23" s="11"/>
      <c r="G23" s="14" t="str">
        <f aca="false">IF(F23="","",INDEX(Config!$B$5:$B$9,MATCH(F23,Config!$A$5:$A$9,0)))</f>
        <v/>
      </c>
      <c r="H23" s="18" t="n">
        <f aca="false">IF(G23="",0,D23*G23/4)</f>
        <v>0</v>
      </c>
      <c r="I23" s="14" t="str">
        <f aca="false">IF($C$37=0,"",IF(INDEX(Config!$D28:$G28,1,$C$37)="","-",INDEX(Config!$D28:$G28,1,$C$37)))</f>
        <v/>
      </c>
      <c r="J23" s="14" t="str">
        <f aca="false">IF(OR(I23="",I23="-"),"",IF(G23="","Not rated",IF(G23&gt;=I23,"OK","BELOW MIN")))</f>
        <v/>
      </c>
      <c r="K23" s="13"/>
      <c r="L23" s="0" t="n">
        <f aca="false">IF(G23="",0,G23)</f>
        <v>0</v>
      </c>
    </row>
    <row r="25" customFormat="false" ht="15" hidden="false" customHeight="false" outlineLevel="0" collapsed="false">
      <c r="B25" s="19" t="s">
        <v>32</v>
      </c>
    </row>
    <row r="26" customFormat="false" ht="15" hidden="false" customHeight="false" outlineLevel="0" collapsed="false">
      <c r="B26" s="20" t="s">
        <v>33</v>
      </c>
      <c r="C26" s="21" t="n">
        <f aca="false">SUM(H10:H19)</f>
        <v>0</v>
      </c>
    </row>
    <row r="27" customFormat="false" ht="15" hidden="false" customHeight="false" outlineLevel="0" collapsed="false">
      <c r="B27" s="20" t="s">
        <v>34</v>
      </c>
      <c r="C27" s="21" t="n">
        <f aca="false">SUM(H20:H23)</f>
        <v>0</v>
      </c>
    </row>
    <row r="28" customFormat="false" ht="15" hidden="false" customHeight="false" outlineLevel="0" collapsed="false">
      <c r="B28" s="20" t="s">
        <v>35</v>
      </c>
      <c r="C28" s="22" t="n">
        <f aca="false">MIN(100,C26+C27)</f>
        <v>0</v>
      </c>
    </row>
    <row r="29" customFormat="false" ht="15" hidden="false" customHeight="false" outlineLevel="0" collapsed="false">
      <c r="B29" s="20" t="s">
        <v>36</v>
      </c>
      <c r="C29" s="23" t="n">
        <f aca="false">COUNTIF(F10:F19,"?*")</f>
        <v>0</v>
      </c>
    </row>
    <row r="31" customFormat="false" ht="23.85" hidden="false" customHeight="false" outlineLevel="0" collapsed="false">
      <c r="B31" s="6" t="s">
        <v>37</v>
      </c>
      <c r="C31" s="6" t="s">
        <v>38</v>
      </c>
      <c r="D31" s="6" t="s">
        <v>39</v>
      </c>
      <c r="E31" s="6" t="s">
        <v>40</v>
      </c>
      <c r="F31" s="6" t="s">
        <v>41</v>
      </c>
    </row>
    <row r="32" customFormat="false" ht="15" hidden="false" customHeight="false" outlineLevel="0" collapsed="false">
      <c r="B32" s="9" t="str">
        <f aca="false">Config!A35</f>
        <v>Analyst</v>
      </c>
      <c r="C32" s="9" t="n">
        <f aca="false">Config!C35</f>
        <v>30</v>
      </c>
      <c r="D32" s="7" t="str">
        <f aca="false">IF($C$28&gt;=C32,"Yes","No")</f>
        <v>No</v>
      </c>
      <c r="E32" s="7" t="n">
        <f aca="false">SUMPRODUCT((INDEX(Config!$D$15:$G$24,0,1)&lt;&gt;"")*(INDEX(Config!$D$15:$G$24,0,1)&gt;$L$10:$L$19))</f>
        <v>3</v>
      </c>
      <c r="F32" s="7" t="str">
        <f aca="false">IF(AND(D32="Yes",E32=0),"Yes","No")</f>
        <v>No</v>
      </c>
    </row>
    <row r="33" customFormat="false" ht="15" hidden="false" customHeight="false" outlineLevel="0" collapsed="false">
      <c r="B33" s="9" t="str">
        <f aca="false">Config!A36</f>
        <v>Senior Analyst</v>
      </c>
      <c r="C33" s="9" t="n">
        <f aca="false">Config!C36</f>
        <v>50</v>
      </c>
      <c r="D33" s="7" t="str">
        <f aca="false">IF($C$28&gt;=C33,"Yes","No")</f>
        <v>No</v>
      </c>
      <c r="E33" s="7" t="n">
        <f aca="false">SUMPRODUCT((INDEX(Config!$D$15:$G$24,0,2)&lt;&gt;"")*(INDEX(Config!$D$15:$G$24,0,2)&gt;$L$10:$L$19))</f>
        <v>7</v>
      </c>
      <c r="F33" s="7" t="str">
        <f aca="false">IF(AND(D33="Yes",E33=0),"Yes","No")</f>
        <v>No</v>
      </c>
    </row>
    <row r="34" customFormat="false" ht="15" hidden="false" customHeight="false" outlineLevel="0" collapsed="false">
      <c r="B34" s="9" t="str">
        <f aca="false">Config!A37</f>
        <v>Specialist/Lead</v>
      </c>
      <c r="C34" s="9" t="n">
        <f aca="false">Config!C37</f>
        <v>68</v>
      </c>
      <c r="D34" s="7" t="str">
        <f aca="false">IF($C$28&gt;=C34,"Yes","No")</f>
        <v>No</v>
      </c>
      <c r="E34" s="7" t="n">
        <f aca="false">SUMPRODUCT((INDEX(Config!$D$15:$G$24,0,3)&lt;&gt;"")*(INDEX(Config!$D$15:$G$24,0,3)&gt;$L$10:$L$19))</f>
        <v>10</v>
      </c>
      <c r="F34" s="7" t="str">
        <f aca="false">IF(AND(D34="Yes",E34=0),"Yes","No")</f>
        <v>No</v>
      </c>
    </row>
    <row r="35" customFormat="false" ht="15" hidden="false" customHeight="false" outlineLevel="0" collapsed="false">
      <c r="B35" s="9" t="str">
        <f aca="false">Config!A38</f>
        <v>Architect</v>
      </c>
      <c r="C35" s="9" t="n">
        <f aca="false">Config!C38</f>
        <v>82</v>
      </c>
      <c r="D35" s="7" t="str">
        <f aca="false">IF($C$28&gt;=C35,"Yes","No")</f>
        <v>No</v>
      </c>
      <c r="E35" s="7" t="n">
        <f aca="false">SUMPRODUCT((INDEX(Config!$D$15:$G$24,0,4)&lt;&gt;"")*(INDEX(Config!$D$15:$G$24,0,4)&gt;$L$10:$L$19))</f>
        <v>10</v>
      </c>
      <c r="F35" s="7" t="str">
        <f aca="false">IF(AND(D35="Yes",E35=0),"Yes","No")</f>
        <v>No</v>
      </c>
    </row>
    <row r="37" customFormat="false" ht="15" hidden="false" customHeight="false" outlineLevel="0" collapsed="false">
      <c r="B37" s="20" t="s">
        <v>42</v>
      </c>
      <c r="C37" s="24" t="n">
        <f aca="false">IFERROR(MATCH($C$6,Config!$A$35:$A$38,0),0)</f>
        <v>0</v>
      </c>
    </row>
    <row r="38" customFormat="false" ht="15" hidden="false" customHeight="false" outlineLevel="0" collapsed="false">
      <c r="B38" s="20" t="s">
        <v>43</v>
      </c>
      <c r="C38" s="24" t="n">
        <f aca="false">IF(F35="Yes",4,IF(F34="Yes",3,IF(F33="Yes",2,IF(F32="Yes",1,0))))</f>
        <v>0</v>
      </c>
    </row>
    <row r="39" customFormat="false" ht="15" hidden="false" customHeight="false" outlineLevel="0" collapsed="false">
      <c r="B39" s="20" t="s">
        <v>44</v>
      </c>
      <c r="C39" s="25" t="str">
        <f aca="false">IF(C38=0,"None (below Analyst bar)",INDEX(Config!$A$35:$A$38,C38))</f>
        <v>None (below Analyst bar)</v>
      </c>
      <c r="D39" s="25"/>
    </row>
    <row r="40" customFormat="false" ht="15" hidden="false" customHeight="false" outlineLevel="0" collapsed="false">
      <c r="B40" s="20" t="s">
        <v>45</v>
      </c>
      <c r="C40" s="24" t="str">
        <f aca="false">IF(C37=0,"",C37-C38)</f>
        <v/>
      </c>
    </row>
    <row r="41" customFormat="false" ht="15" hidden="false" customHeight="false" outlineLevel="0" collapsed="false">
      <c r="B41" s="20" t="s">
        <v>46</v>
      </c>
      <c r="C41" s="25" t="str">
        <f aca="false">IF(OR(C7="",C37=0),"",IF(C7&lt;INDEX(Config!$D$35:$D$38,C37),"Below typical yrs for role","Meets typical yrs for role"))</f>
        <v/>
      </c>
      <c r="D41" s="25"/>
      <c r="E41" s="25"/>
    </row>
    <row r="43" customFormat="false" ht="27.75" hidden="false" customHeight="true" outlineLevel="0" collapsed="false">
      <c r="B43" s="26" t="s">
        <v>47</v>
      </c>
      <c r="C43" s="27" t="str">
        <f aca="false">IF(C37=0,"Select Role Applied For",IF(C29&lt;10,"INCOMPLETE – rate all core areas ("&amp;C29&amp;"/10)",IF(C38=0,"NOT RECOMMENDED – below Analyst bar",IF(C40&lt;=0,"RECOMMEND – "&amp;C6,IF(C40&lt;=Config!$B$40,"RECOMMEND AT LOWER LEVEL – "&amp;C39,"NOT RECOMMENDED – "&amp;C40&amp;" levels below "&amp;C6)))))</f>
        <v>Select Role Applied For</v>
      </c>
      <c r="D43" s="27"/>
      <c r="E43" s="27"/>
      <c r="F43" s="27"/>
      <c r="G43" s="27"/>
      <c r="H43" s="27"/>
      <c r="I43" s="27"/>
      <c r="J43" s="27"/>
      <c r="K43" s="27"/>
    </row>
    <row r="45" customFormat="false" ht="15" hidden="false" customHeight="false" outlineLevel="0" collapsed="false">
      <c r="B45" s="28" t="s">
        <v>48</v>
      </c>
      <c r="C45" s="29"/>
      <c r="D45" s="29"/>
      <c r="E45" s="29"/>
      <c r="F45" s="29"/>
      <c r="G45" s="29"/>
      <c r="H45" s="29"/>
      <c r="I45" s="29"/>
      <c r="J45" s="29"/>
      <c r="K45" s="29"/>
    </row>
    <row r="46" customFormat="false" ht="15" hidden="false" customHeight="false" outlineLevel="0" collapsed="false">
      <c r="C46" s="29"/>
      <c r="D46" s="29"/>
      <c r="E46" s="29"/>
      <c r="F46" s="29"/>
      <c r="G46" s="29"/>
      <c r="H46" s="29"/>
      <c r="I46" s="29"/>
      <c r="J46" s="29"/>
      <c r="K46" s="29"/>
    </row>
    <row r="47" customFormat="false" ht="15" hidden="false" customHeight="false" outlineLevel="0" collapsed="false">
      <c r="C47" s="29"/>
      <c r="D47" s="29"/>
      <c r="E47" s="29"/>
      <c r="F47" s="29"/>
      <c r="G47" s="29"/>
      <c r="H47" s="29"/>
      <c r="I47" s="29"/>
      <c r="J47" s="29"/>
      <c r="K47" s="29"/>
    </row>
  </sheetData>
  <mergeCells count="9">
    <mergeCell ref="C3:E3"/>
    <mergeCell ref="C4:E4"/>
    <mergeCell ref="C5:E5"/>
    <mergeCell ref="C6:E6"/>
    <mergeCell ref="C7:E7"/>
    <mergeCell ref="C39:D39"/>
    <mergeCell ref="C41:E41"/>
    <mergeCell ref="C43:K43"/>
    <mergeCell ref="C45:K47"/>
  </mergeCells>
  <conditionalFormatting sqref="J10:J23">
    <cfRule type="expression" priority="2" aboveAverage="0" equalAverage="0" bottom="0" percent="0" rank="0" text="" dxfId="0">
      <formula>J10="BELOW MIN"</formula>
    </cfRule>
    <cfRule type="expression" priority="3" aboveAverage="0" equalAverage="0" bottom="0" percent="0" rank="0" text="" dxfId="1">
      <formula>J10="OK"</formula>
    </cfRule>
  </conditionalFormatting>
  <conditionalFormatting sqref="F32:F35">
    <cfRule type="expression" priority="4" aboveAverage="0" equalAverage="0" bottom="0" percent="0" rank="0" text="" dxfId="2">
      <formula>F32="Yes"</formula>
    </cfRule>
  </conditionalFormatting>
  <conditionalFormatting sqref="C43">
    <cfRule type="expression" priority="5" aboveAverage="0" equalAverage="0" bottom="0" percent="0" rank="0" text="" dxfId="3">
      <formula>LEFT($C$43,3)="NOT"</formula>
    </cfRule>
    <cfRule type="expression" priority="6" aboveAverage="0" equalAverage="0" bottom="0" percent="0" rank="0" text="" dxfId="4">
      <formula>LEFT($C$43,12)="RECOMMEND AT"</formula>
    </cfRule>
    <cfRule type="expression" priority="7" aboveAverage="0" equalAverage="0" bottom="0" percent="0" rank="0" text="" dxfId="5">
      <formula>LEFT($C$43,9)="RECOMMEND"</formula>
    </cfRule>
  </conditionalFormatting>
  <dataValidations count="2">
    <dataValidation allowBlank="true" errorStyle="stop" operator="between" showDropDown="false" showErrorMessage="false" showInputMessage="false" sqref="C6" type="list">
      <formula1>Config!$A$35:$A$38</formula1>
      <formula2>0</formula2>
    </dataValidation>
    <dataValidation allowBlank="true" errorStyle="stop" operator="between" showDropDown="false" showErrorMessage="false" showInputMessage="false" sqref="F10:F23" type="list">
      <formula1>Config!$A$5:$A$9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4"/>
    <col collapsed="false" customWidth="true" hidden="false" outlineLevel="0" max="3" min="3" style="0" width="58"/>
  </cols>
  <sheetData>
    <row r="1" customFormat="false" ht="17.35" hidden="false" customHeight="false" outlineLevel="0" collapsed="false">
      <c r="A1" s="1" t="s">
        <v>49</v>
      </c>
    </row>
    <row r="3" customFormat="false" ht="15" hidden="false" customHeight="false" outlineLevel="0" collapsed="false">
      <c r="A3" s="19" t="s">
        <v>50</v>
      </c>
    </row>
    <row r="4" customFormat="false" ht="23.85" hidden="false" customHeight="false" outlineLevel="0" collapsed="false">
      <c r="A4" s="30" t="s">
        <v>51</v>
      </c>
    </row>
    <row r="6" customFormat="false" ht="15" hidden="false" customHeight="false" outlineLevel="0" collapsed="false">
      <c r="A6" s="19" t="s">
        <v>52</v>
      </c>
    </row>
    <row r="7" customFormat="false" ht="15" hidden="false" customHeight="false" outlineLevel="0" collapsed="false">
      <c r="A7" s="30" t="s">
        <v>53</v>
      </c>
    </row>
    <row r="9" customFormat="false" ht="15" hidden="false" customHeight="false" outlineLevel="0" collapsed="false">
      <c r="A9" s="19" t="s">
        <v>54</v>
      </c>
    </row>
    <row r="10" customFormat="false" ht="15" hidden="false" customHeight="false" outlineLevel="0" collapsed="false">
      <c r="A10" s="30" t="s">
        <v>55</v>
      </c>
    </row>
    <row r="11" customFormat="false" ht="15" hidden="false" customHeight="false" outlineLevel="0" collapsed="false">
      <c r="A11" s="30" t="s">
        <v>56</v>
      </c>
    </row>
    <row r="12" customFormat="false" ht="15" hidden="false" customHeight="false" outlineLevel="0" collapsed="false">
      <c r="A12" s="30" t="s">
        <v>57</v>
      </c>
    </row>
    <row r="14" customFormat="false" ht="15" hidden="false" customHeight="false" outlineLevel="0" collapsed="false">
      <c r="A14" s="19" t="s">
        <v>58</v>
      </c>
    </row>
    <row r="15" customFormat="false" ht="15" hidden="false" customHeight="false" outlineLevel="0" collapsed="false">
      <c r="A15" s="6" t="s">
        <v>37</v>
      </c>
      <c r="B15" s="6" t="s">
        <v>59</v>
      </c>
      <c r="C15" s="6" t="s">
        <v>60</v>
      </c>
    </row>
    <row r="16" customFormat="false" ht="15" hidden="false" customHeight="false" outlineLevel="0" collapsed="false">
      <c r="A16" s="10" t="s">
        <v>61</v>
      </c>
      <c r="B16" s="7" t="n">
        <f aca="false">Config!C35</f>
        <v>30</v>
      </c>
      <c r="C16" s="10" t="s">
        <v>62</v>
      </c>
    </row>
    <row r="17" customFormat="false" ht="15" hidden="false" customHeight="false" outlineLevel="0" collapsed="false">
      <c r="A17" s="10" t="s">
        <v>63</v>
      </c>
      <c r="B17" s="7" t="n">
        <f aca="false">Config!C36</f>
        <v>50</v>
      </c>
      <c r="C17" s="10" t="s">
        <v>64</v>
      </c>
    </row>
    <row r="18" customFormat="false" ht="15" hidden="false" customHeight="false" outlineLevel="0" collapsed="false">
      <c r="A18" s="10" t="s">
        <v>65</v>
      </c>
      <c r="B18" s="7" t="n">
        <f aca="false">Config!C37</f>
        <v>68</v>
      </c>
      <c r="C18" s="10" t="s">
        <v>66</v>
      </c>
    </row>
    <row r="19" customFormat="false" ht="15" hidden="false" customHeight="false" outlineLevel="0" collapsed="false">
      <c r="A19" s="10" t="s">
        <v>67</v>
      </c>
      <c r="B19" s="7" t="n">
        <f aca="false">Config!C38</f>
        <v>82</v>
      </c>
      <c r="C19" s="10" t="s">
        <v>68</v>
      </c>
    </row>
    <row r="21" customFormat="false" ht="15" hidden="false" customHeight="false" outlineLevel="0" collapsed="false">
      <c r="A21" s="19" t="s">
        <v>69</v>
      </c>
    </row>
    <row r="22" customFormat="false" ht="15" hidden="false" customHeight="false" outlineLevel="0" collapsed="false">
      <c r="A22" s="30" t="s">
        <v>70</v>
      </c>
    </row>
    <row r="24" customFormat="false" ht="15" hidden="false" customHeight="false" outlineLevel="0" collapsed="false">
      <c r="A24" s="19" t="s">
        <v>71</v>
      </c>
    </row>
    <row r="25" customFormat="false" ht="23.85" hidden="false" customHeight="false" outlineLevel="0" collapsed="false">
      <c r="A25" s="30" t="s">
        <v>72</v>
      </c>
    </row>
    <row r="27" customFormat="false" ht="15" hidden="false" customHeight="false" outlineLevel="0" collapsed="false">
      <c r="A27" s="19" t="s">
        <v>73</v>
      </c>
    </row>
    <row r="28" customFormat="false" ht="15" hidden="false" customHeight="false" outlineLevel="0" collapsed="false">
      <c r="A28" s="30" t="s">
        <v>74</v>
      </c>
    </row>
    <row r="30" customFormat="false" ht="15" hidden="false" customHeight="false" outlineLevel="0" collapsed="false">
      <c r="A30" s="19" t="s">
        <v>75</v>
      </c>
    </row>
    <row r="31" customFormat="false" ht="15" hidden="false" customHeight="false" outlineLevel="0" collapsed="false">
      <c r="A31" s="6" t="s">
        <v>76</v>
      </c>
      <c r="B31" s="6" t="s">
        <v>77</v>
      </c>
    </row>
    <row r="32" customFormat="false" ht="15" hidden="false" customHeight="false" outlineLevel="0" collapsed="false">
      <c r="A32" s="31" t="s">
        <v>78</v>
      </c>
      <c r="B32" s="31" t="s">
        <v>79</v>
      </c>
    </row>
    <row r="33" customFormat="false" ht="15" hidden="false" customHeight="false" outlineLevel="0" collapsed="false">
      <c r="A33" s="32" t="s">
        <v>80</v>
      </c>
      <c r="B33" s="32" t="s">
        <v>81</v>
      </c>
    </row>
    <row r="34" customFormat="false" ht="15" hidden="false" customHeight="false" outlineLevel="0" collapsed="false">
      <c r="A34" s="33" t="s">
        <v>82</v>
      </c>
      <c r="B34" s="33" t="s">
        <v>83</v>
      </c>
    </row>
    <row r="35" customFormat="false" ht="15" hidden="false" customHeight="false" outlineLevel="0" collapsed="false">
      <c r="A35" s="34" t="s">
        <v>84</v>
      </c>
      <c r="B35" s="34" t="s">
        <v>85</v>
      </c>
    </row>
    <row r="37" customFormat="false" ht="15" hidden="false" customHeight="false" outlineLevel="0" collapsed="false">
      <c r="A37" s="19" t="s">
        <v>86</v>
      </c>
    </row>
    <row r="38" customFormat="false" ht="23.85" hidden="false" customHeight="false" outlineLevel="0" collapsed="false">
      <c r="A38" s="30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6.75"/>
    <col collapsed="false" customWidth="true" hidden="false" outlineLevel="0" max="3" min="3" style="0" width="14.88"/>
    <col collapsed="false" customWidth="true" hidden="false" outlineLevel="0" max="4" min="4" style="0" width="31.5"/>
    <col collapsed="false" customWidth="true" hidden="false" outlineLevel="0" max="5" min="5" style="0" width="39.63"/>
    <col collapsed="false" customWidth="true" hidden="false" outlineLevel="0" max="6" min="6" style="0" width="26"/>
    <col collapsed="false" customWidth="true" hidden="false" outlineLevel="0" max="7" min="7" style="0" width="18.25"/>
    <col collapsed="false" customWidth="true" hidden="false" outlineLevel="0" max="8" min="8" style="0" width="37.75"/>
  </cols>
  <sheetData>
    <row r="1" customFormat="false" ht="17.35" hidden="false" customHeight="false" outlineLevel="0" collapsed="false">
      <c r="A1" s="35" t="s">
        <v>88</v>
      </c>
      <c r="B1" s="35"/>
      <c r="C1" s="35"/>
      <c r="D1" s="35"/>
      <c r="E1" s="35"/>
      <c r="F1" s="35"/>
      <c r="G1" s="35"/>
    </row>
    <row r="3" customFormat="false" ht="15.75" hidden="false" customHeight="false" outlineLevel="0" collapsed="false">
      <c r="A3" s="36" t="s">
        <v>89</v>
      </c>
    </row>
    <row r="4" customFormat="false" ht="15.75" hidden="false" customHeight="false" outlineLevel="0" collapsed="false">
      <c r="A4" s="37" t="s">
        <v>90</v>
      </c>
      <c r="B4" s="37" t="s">
        <v>91</v>
      </c>
      <c r="C4" s="37" t="s">
        <v>92</v>
      </c>
      <c r="D4" s="37" t="s">
        <v>93</v>
      </c>
      <c r="E4" s="37" t="s">
        <v>94</v>
      </c>
    </row>
    <row r="5" customFormat="false" ht="28.35" hidden="false" customHeight="false" outlineLevel="0" collapsed="false">
      <c r="A5" s="38" t="s">
        <v>95</v>
      </c>
      <c r="B5" s="39" t="n">
        <v>0</v>
      </c>
      <c r="C5" s="40" t="n">
        <f aca="false">B5/4</f>
        <v>0</v>
      </c>
      <c r="D5" s="41" t="s">
        <v>96</v>
      </c>
      <c r="E5" s="41" t="s">
        <v>97</v>
      </c>
    </row>
    <row r="6" customFormat="false" ht="28.35" hidden="false" customHeight="false" outlineLevel="0" collapsed="false">
      <c r="A6" s="38" t="s">
        <v>98</v>
      </c>
      <c r="B6" s="39" t="n">
        <v>1</v>
      </c>
      <c r="C6" s="40" t="n">
        <f aca="false">B6/4</f>
        <v>0.25</v>
      </c>
      <c r="D6" s="41" t="s">
        <v>99</v>
      </c>
      <c r="E6" s="41" t="s">
        <v>100</v>
      </c>
    </row>
    <row r="7" customFormat="false" ht="41.75" hidden="false" customHeight="false" outlineLevel="0" collapsed="false">
      <c r="A7" s="38" t="s">
        <v>101</v>
      </c>
      <c r="B7" s="39" t="n">
        <v>2</v>
      </c>
      <c r="C7" s="40" t="n">
        <f aca="false">B7/4</f>
        <v>0.5</v>
      </c>
      <c r="D7" s="41" t="s">
        <v>102</v>
      </c>
      <c r="E7" s="41" t="s">
        <v>103</v>
      </c>
    </row>
    <row r="8" customFormat="false" ht="41.75" hidden="false" customHeight="false" outlineLevel="0" collapsed="false">
      <c r="A8" s="38" t="s">
        <v>104</v>
      </c>
      <c r="B8" s="39" t="n">
        <v>3</v>
      </c>
      <c r="C8" s="40" t="n">
        <f aca="false">B8/4</f>
        <v>0.75</v>
      </c>
      <c r="D8" s="41" t="s">
        <v>105</v>
      </c>
      <c r="E8" s="41" t="s">
        <v>106</v>
      </c>
    </row>
    <row r="9" customFormat="false" ht="28.35" hidden="false" customHeight="false" outlineLevel="0" collapsed="false">
      <c r="A9" s="38" t="s">
        <v>107</v>
      </c>
      <c r="B9" s="39" t="n">
        <v>4</v>
      </c>
      <c r="C9" s="40" t="n">
        <f aca="false">B9/4</f>
        <v>1</v>
      </c>
      <c r="D9" s="41" t="s">
        <v>108</v>
      </c>
      <c r="E9" s="41" t="s">
        <v>109</v>
      </c>
    </row>
    <row r="12" customFormat="false" ht="15.75" hidden="false" customHeight="false" outlineLevel="0" collapsed="false">
      <c r="A12" s="36" t="s">
        <v>110</v>
      </c>
      <c r="B12" s="42"/>
      <c r="C12" s="42"/>
      <c r="D12" s="42"/>
      <c r="E12" s="42"/>
      <c r="F12" s="42"/>
      <c r="G12" s="42"/>
      <c r="H12" s="42"/>
    </row>
    <row r="13" customFormat="false" ht="15.75" hidden="false" customHeight="false" outlineLevel="0" collapsed="false">
      <c r="A13" s="43" t="s">
        <v>111</v>
      </c>
      <c r="B13" s="43"/>
      <c r="C13" s="43"/>
      <c r="D13" s="43"/>
      <c r="E13" s="43"/>
      <c r="F13" s="43"/>
      <c r="G13" s="43"/>
      <c r="H13" s="42"/>
    </row>
    <row r="14" customFormat="false" ht="26.85" hidden="false" customHeight="false" outlineLevel="0" collapsed="false">
      <c r="A14" s="37" t="s">
        <v>8</v>
      </c>
      <c r="B14" s="37" t="s">
        <v>9</v>
      </c>
      <c r="C14" s="37" t="s">
        <v>10</v>
      </c>
      <c r="D14" s="37" t="s">
        <v>112</v>
      </c>
      <c r="E14" s="37" t="s">
        <v>113</v>
      </c>
      <c r="F14" s="37" t="s">
        <v>114</v>
      </c>
      <c r="G14" s="37" t="s">
        <v>115</v>
      </c>
      <c r="H14" s="37" t="s">
        <v>116</v>
      </c>
    </row>
    <row r="15" customFormat="false" ht="28.35" hidden="false" customHeight="false" outlineLevel="0" collapsed="false">
      <c r="A15" s="41" t="s">
        <v>117</v>
      </c>
      <c r="B15" s="41" t="s">
        <v>118</v>
      </c>
      <c r="C15" s="44" t="n">
        <v>18</v>
      </c>
      <c r="D15" s="44" t="n">
        <v>1</v>
      </c>
      <c r="E15" s="44" t="n">
        <v>2</v>
      </c>
      <c r="F15" s="44" t="n">
        <v>3</v>
      </c>
      <c r="G15" s="44" t="n">
        <v>3</v>
      </c>
      <c r="H15" s="41" t="s">
        <v>119</v>
      </c>
    </row>
    <row r="16" customFormat="false" ht="28.35" hidden="false" customHeight="false" outlineLevel="0" collapsed="false">
      <c r="A16" s="41" t="s">
        <v>120</v>
      </c>
      <c r="B16" s="41" t="s">
        <v>118</v>
      </c>
      <c r="C16" s="44" t="n">
        <v>18</v>
      </c>
      <c r="D16" s="44" t="n">
        <v>1</v>
      </c>
      <c r="E16" s="44" t="n">
        <v>2</v>
      </c>
      <c r="F16" s="44" t="n">
        <v>3</v>
      </c>
      <c r="G16" s="44" t="n">
        <v>3</v>
      </c>
      <c r="H16" s="41" t="s">
        <v>121</v>
      </c>
    </row>
    <row r="17" customFormat="false" ht="28.35" hidden="false" customHeight="false" outlineLevel="0" collapsed="false">
      <c r="A17" s="41" t="s">
        <v>122</v>
      </c>
      <c r="B17" s="41" t="s">
        <v>118</v>
      </c>
      <c r="C17" s="44" t="n">
        <v>10</v>
      </c>
      <c r="D17" s="45"/>
      <c r="E17" s="44" t="n">
        <v>1</v>
      </c>
      <c r="F17" s="44" t="n">
        <v>2</v>
      </c>
      <c r="G17" s="44" t="n">
        <v>3</v>
      </c>
      <c r="H17" s="41" t="s">
        <v>123</v>
      </c>
    </row>
    <row r="18" customFormat="false" ht="28.35" hidden="false" customHeight="false" outlineLevel="0" collapsed="false">
      <c r="A18" s="41" t="s">
        <v>124</v>
      </c>
      <c r="B18" s="41" t="s">
        <v>118</v>
      </c>
      <c r="C18" s="44" t="n">
        <v>10</v>
      </c>
      <c r="D18" s="45"/>
      <c r="E18" s="44" t="n">
        <v>1</v>
      </c>
      <c r="F18" s="44" t="n">
        <v>2</v>
      </c>
      <c r="G18" s="44" t="n">
        <v>3</v>
      </c>
      <c r="H18" s="41" t="s">
        <v>125</v>
      </c>
    </row>
    <row r="19" customFormat="false" ht="15.75" hidden="false" customHeight="false" outlineLevel="0" collapsed="false">
      <c r="A19" s="41" t="s">
        <v>126</v>
      </c>
      <c r="B19" s="41" t="s">
        <v>118</v>
      </c>
      <c r="C19" s="44" t="n">
        <v>9</v>
      </c>
      <c r="D19" s="45"/>
      <c r="E19" s="44" t="n">
        <v>1</v>
      </c>
      <c r="F19" s="44" t="n">
        <v>2</v>
      </c>
      <c r="G19" s="44" t="n">
        <v>2</v>
      </c>
      <c r="H19" s="41" t="s">
        <v>127</v>
      </c>
    </row>
    <row r="20" customFormat="false" ht="28.35" hidden="false" customHeight="false" outlineLevel="0" collapsed="false">
      <c r="A20" s="41" t="s">
        <v>128</v>
      </c>
      <c r="B20" s="41" t="s">
        <v>118</v>
      </c>
      <c r="C20" s="44" t="n">
        <v>8</v>
      </c>
      <c r="D20" s="45"/>
      <c r="E20" s="44" t="n">
        <v>1</v>
      </c>
      <c r="F20" s="44" t="n">
        <v>2</v>
      </c>
      <c r="G20" s="44" t="n">
        <v>2</v>
      </c>
      <c r="H20" s="41" t="s">
        <v>129</v>
      </c>
    </row>
    <row r="21" customFormat="false" ht="28.35" hidden="false" customHeight="false" outlineLevel="0" collapsed="false">
      <c r="A21" s="41" t="s">
        <v>130</v>
      </c>
      <c r="B21" s="41" t="s">
        <v>118</v>
      </c>
      <c r="C21" s="44" t="n">
        <v>8</v>
      </c>
      <c r="D21" s="45"/>
      <c r="E21" s="45"/>
      <c r="F21" s="44" t="n">
        <v>2</v>
      </c>
      <c r="G21" s="44" t="n">
        <v>3</v>
      </c>
      <c r="H21" s="41" t="s">
        <v>131</v>
      </c>
    </row>
    <row r="22" customFormat="false" ht="28.35" hidden="false" customHeight="false" outlineLevel="0" collapsed="false">
      <c r="A22" s="41" t="s">
        <v>132</v>
      </c>
      <c r="B22" s="41" t="s">
        <v>118</v>
      </c>
      <c r="C22" s="44" t="n">
        <v>7</v>
      </c>
      <c r="D22" s="44" t="n">
        <v>1</v>
      </c>
      <c r="E22" s="44" t="n">
        <v>2</v>
      </c>
      <c r="F22" s="44" t="n">
        <v>2</v>
      </c>
      <c r="G22" s="44" t="n">
        <v>2</v>
      </c>
      <c r="H22" s="41" t="s">
        <v>133</v>
      </c>
    </row>
    <row r="23" customFormat="false" ht="15.75" hidden="false" customHeight="false" outlineLevel="0" collapsed="false">
      <c r="A23" s="41" t="s">
        <v>134</v>
      </c>
      <c r="B23" s="41" t="s">
        <v>118</v>
      </c>
      <c r="C23" s="44" t="n">
        <v>5</v>
      </c>
      <c r="D23" s="45"/>
      <c r="E23" s="45"/>
      <c r="F23" s="44" t="n">
        <v>1</v>
      </c>
      <c r="G23" s="44" t="n">
        <v>2</v>
      </c>
      <c r="H23" s="41" t="s">
        <v>135</v>
      </c>
    </row>
    <row r="24" customFormat="false" ht="15.75" hidden="false" customHeight="false" outlineLevel="0" collapsed="false">
      <c r="A24" s="41" t="s">
        <v>136</v>
      </c>
      <c r="B24" s="41" t="s">
        <v>118</v>
      </c>
      <c r="C24" s="44" t="n">
        <v>7</v>
      </c>
      <c r="D24" s="45"/>
      <c r="E24" s="45"/>
      <c r="F24" s="44" t="n">
        <v>1</v>
      </c>
      <c r="G24" s="44" t="n">
        <v>2</v>
      </c>
      <c r="H24" s="41" t="s">
        <v>137</v>
      </c>
    </row>
    <row r="25" customFormat="false" ht="28.35" hidden="false" customHeight="false" outlineLevel="0" collapsed="false">
      <c r="A25" s="46" t="s">
        <v>138</v>
      </c>
      <c r="B25" s="46" t="s">
        <v>139</v>
      </c>
      <c r="C25" s="47" t="n">
        <v>3</v>
      </c>
      <c r="D25" s="48"/>
      <c r="E25" s="48"/>
      <c r="F25" s="48"/>
      <c r="G25" s="48"/>
      <c r="H25" s="46" t="s">
        <v>140</v>
      </c>
    </row>
    <row r="26" customFormat="false" ht="15.75" hidden="false" customHeight="false" outlineLevel="0" collapsed="false">
      <c r="A26" s="46" t="s">
        <v>141</v>
      </c>
      <c r="B26" s="46" t="s">
        <v>139</v>
      </c>
      <c r="C26" s="47" t="n">
        <v>2.5</v>
      </c>
      <c r="D26" s="48"/>
      <c r="E26" s="48"/>
      <c r="F26" s="48"/>
      <c r="G26" s="48"/>
      <c r="H26" s="46" t="s">
        <v>142</v>
      </c>
    </row>
    <row r="27" customFormat="false" ht="15.75" hidden="false" customHeight="false" outlineLevel="0" collapsed="false">
      <c r="A27" s="46" t="s">
        <v>143</v>
      </c>
      <c r="B27" s="46" t="s">
        <v>139</v>
      </c>
      <c r="C27" s="47" t="n">
        <v>2</v>
      </c>
      <c r="D27" s="48"/>
      <c r="E27" s="48"/>
      <c r="F27" s="48"/>
      <c r="G27" s="48"/>
      <c r="H27" s="46" t="s">
        <v>144</v>
      </c>
    </row>
    <row r="28" customFormat="false" ht="15.75" hidden="false" customHeight="false" outlineLevel="0" collapsed="false">
      <c r="A28" s="46" t="s">
        <v>145</v>
      </c>
      <c r="B28" s="46" t="s">
        <v>139</v>
      </c>
      <c r="C28" s="47" t="n">
        <v>2.5</v>
      </c>
      <c r="D28" s="48"/>
      <c r="E28" s="48"/>
      <c r="F28" s="48"/>
      <c r="G28" s="48"/>
      <c r="H28" s="46" t="s">
        <v>146</v>
      </c>
    </row>
    <row r="29" customFormat="false" ht="15.75" hidden="false" customHeight="false" outlineLevel="0" collapsed="false">
      <c r="A29" s="49" t="s">
        <v>147</v>
      </c>
      <c r="B29" s="50"/>
      <c r="C29" s="51" t="n">
        <f aca="false">SUMIF(B15:B28,"Core",C15:C28)</f>
        <v>100</v>
      </c>
      <c r="D29" s="50"/>
      <c r="E29" s="50"/>
      <c r="F29" s="50"/>
      <c r="G29" s="50"/>
      <c r="H29" s="50"/>
    </row>
    <row r="30" customFormat="false" ht="15.75" hidden="false" customHeight="false" outlineLevel="0" collapsed="false">
      <c r="A30" s="49" t="s">
        <v>148</v>
      </c>
      <c r="B30" s="50"/>
      <c r="C30" s="51" t="n">
        <f aca="false">SUMIF(B15:B28,"Good to know",C15:C28)</f>
        <v>10</v>
      </c>
      <c r="D30" s="50"/>
      <c r="E30" s="50"/>
      <c r="F30" s="50"/>
      <c r="G30" s="50"/>
      <c r="H30" s="50"/>
    </row>
    <row r="33" customFormat="false" ht="15.75" hidden="false" customHeight="false" outlineLevel="0" collapsed="false">
      <c r="A33" s="36" t="s">
        <v>149</v>
      </c>
      <c r="B33" s="42"/>
      <c r="C33" s="42"/>
      <c r="D33" s="42"/>
      <c r="E33" s="42"/>
    </row>
    <row r="34" customFormat="false" ht="26.85" hidden="false" customHeight="false" outlineLevel="0" collapsed="false">
      <c r="A34" s="37" t="s">
        <v>37</v>
      </c>
      <c r="B34" s="37" t="s">
        <v>150</v>
      </c>
      <c r="C34" s="37" t="s">
        <v>151</v>
      </c>
      <c r="D34" s="37" t="s">
        <v>152</v>
      </c>
      <c r="E34" s="37" t="s">
        <v>153</v>
      </c>
    </row>
    <row r="35" customFormat="false" ht="28.35" hidden="false" customHeight="false" outlineLevel="0" collapsed="false">
      <c r="A35" s="41" t="s">
        <v>61</v>
      </c>
      <c r="B35" s="52" t="n">
        <v>1</v>
      </c>
      <c r="C35" s="39" t="n">
        <v>30</v>
      </c>
      <c r="D35" s="39" t="n">
        <v>0</v>
      </c>
      <c r="E35" s="41" t="s">
        <v>154</v>
      </c>
    </row>
    <row r="36" customFormat="false" ht="15.75" hidden="false" customHeight="false" outlineLevel="0" collapsed="false">
      <c r="A36" s="41" t="s">
        <v>63</v>
      </c>
      <c r="B36" s="52" t="n">
        <v>2</v>
      </c>
      <c r="C36" s="39" t="n">
        <v>50</v>
      </c>
      <c r="D36" s="39" t="n">
        <v>3</v>
      </c>
      <c r="E36" s="41" t="s">
        <v>155</v>
      </c>
    </row>
    <row r="37" customFormat="false" ht="28.35" hidden="false" customHeight="false" outlineLevel="0" collapsed="false">
      <c r="A37" s="41" t="s">
        <v>65</v>
      </c>
      <c r="B37" s="52" t="n">
        <v>3</v>
      </c>
      <c r="C37" s="39" t="n">
        <v>68</v>
      </c>
      <c r="D37" s="39" t="n">
        <v>6</v>
      </c>
      <c r="E37" s="41" t="s">
        <v>156</v>
      </c>
    </row>
    <row r="38" customFormat="false" ht="15.75" hidden="false" customHeight="false" outlineLevel="0" collapsed="false">
      <c r="A38" s="41" t="s">
        <v>67</v>
      </c>
      <c r="B38" s="52" t="n">
        <v>4</v>
      </c>
      <c r="C38" s="39" t="n">
        <v>82</v>
      </c>
      <c r="D38" s="39" t="n">
        <v>10</v>
      </c>
      <c r="E38" s="41" t="s">
        <v>157</v>
      </c>
    </row>
    <row r="40" customFormat="false" ht="23.85" hidden="false" customHeight="false" outlineLevel="0" collapsed="false">
      <c r="A40" s="28" t="s">
        <v>158</v>
      </c>
      <c r="B40" s="53" t="n">
        <v>1</v>
      </c>
      <c r="C40" s="2" t="s">
        <v>159</v>
      </c>
    </row>
  </sheetData>
  <mergeCells count="2">
    <mergeCell ref="A1:G1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2026-10-06T17:27:19Z</dcterms:created>
  <dc:creator>openpyxl</dc:creator>
  <dc:description/>
  <dc:language>en-US</dc:language>
  <cp:lastModifiedBy/>
  <dcterms:modified xsi:type="dcterms:W3CDTF">2026-10-06T17:27:19Z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